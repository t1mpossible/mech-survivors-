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146d3535f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кеты" sheetId="1" r:id="R9dce1ff0b220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6">
    <x:font>
      <x:sz val="11"/>
      <x:name val="Carlito"/>
    </x:font>
    <x:font>
      <x:sz val="10"/>
      <x:color rgb="FF173042"/>
      <x:name val="Arial"/>
    </x:font>
    <x:font>
      <x:b/>
      <x:sz val="14"/>
      <x:color rgb="FF15324B"/>
      <x:name val="Arial"/>
    </x:font>
    <x:font>
      <x:i/>
      <x:sz val="10"/>
      <x:color rgb="FF627789"/>
      <x:name val="Arial"/>
    </x:font>
    <x:font>
      <x:b/>
      <x:sz val="10"/>
      <x:color rgb="FFFFFFFF"/>
      <x:name val="Arial"/>
    </x:font>
    <x:font>
      <x:b/>
      <x:sz val="12"/>
      <x:color rgb="FF1532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DF3E9"/>
      </x:patternFill>
    </x:fill>
    <x:fill>
      <x:patternFill patternType="solid">
        <x:fgColor rgb="FFFFF1C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4828b2b704f38" /><Relationship Type="http://schemas.openxmlformats.org/officeDocument/2006/relationships/theme" Target="/xl/theme/theme1.xml" Id="R10c68566e8da4321" /><Relationship Type="http://schemas.openxmlformats.org/officeDocument/2006/relationships/sharedStrings" Target="/xl/sharedStrings.xml" Id="R678d51633f9749f2" /><Relationship Type="http://schemas.openxmlformats.org/officeDocument/2006/relationships/worksheet" Target="/xl/worksheets/sheet1.xml" Id="R9dce1ff0b22043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1" hidden="0" customWidth="1"/>
    <x:col min="3" max="3" width="21" hidden="0" customWidth="1"/>
    <x:col min="4" max="4" width="19" hidden="0" customWidth="1"/>
    <x:col min="5" max="5" width="18" hidden="0" customWidth="1"/>
    <x:col min="6" max="6" width="15" hidden="0" customWidth="1"/>
    <x:col min="7" max="7" width="18" hidden="0" customWidth="1"/>
    <x:col min="8" max="8" width="17" hidden="0" customWidth="1"/>
    <x:col min="9" max="9" width="20" hidden="0" customWidth="1"/>
    <x:col min="10" max="10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Охотничьи ракеты — баланс и DPS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 t="str">
        <x:v>Жёлтые ячейки меняются вручную; зелёные рассчитываются автоматически. Итоговые значения на каждом уровне.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DPS — теоретический урон по одной цели при попадании всех ракет и всех взрывов. Время полёта и промахи не учитываются.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6" t="str">
        <x:v>Уровень</x:v>
      </x:c>
      <x:c r="B6" s="6" t="str">
        <x:v>Ракетный рой DPS</x:v>
      </x:c>
      <x:c r="C6" s="6" t="str">
        <x:v>Осадная ракета DPS</x:v>
      </x:c>
      <x:c r="D6" s="2"/>
      <x:c r="E6" s="2"/>
      <x:c r="F6" s="2"/>
      <x:c r="G6" s="2"/>
      <x:c r="H6" s="2"/>
      <x:c r="I6" s="2"/>
      <x:c r="J6" s="2"/>
    </x:row>
    <x:row r="7" ht="22" customHeight="1">
      <x:c r="A7" s="2" t="n">
        <x:v>1</x:v>
      </x:c>
      <x:c r="B7" s="8" t="n">
        <x:f>H18</x:f>
        <x:v>7.333333333333333</x:v>
      </x:c>
      <x:c r="C7" s="8" t="n">
        <x:f>I29</x:f>
        <x:v>6.666666666666667</x:v>
      </x:c>
      <x:c r="D7" s="2"/>
      <x:c r="E7" s="2"/>
      <x:c r="F7" s="2"/>
      <x:c r="G7" s="2"/>
      <x:c r="H7" s="2"/>
      <x:c r="I7" s="2"/>
      <x:c r="J7" s="2"/>
    </x:row>
    <x:row r="8" ht="22" customHeight="1">
      <x:c r="A8" s="2" t="n">
        <x:v>2</x:v>
      </x:c>
      <x:c r="B8" s="8" t="n">
        <x:f>H19</x:f>
        <x:v>10</x:v>
      </x:c>
      <x:c r="C8" s="8" t="n">
        <x:f>I30</x:f>
        <x:v>10</x:v>
      </x:c>
      <x:c r="D8" s="2"/>
      <x:c r="E8" s="2"/>
      <x:c r="F8" s="2"/>
      <x:c r="G8" s="2"/>
      <x:c r="H8" s="2"/>
      <x:c r="I8" s="2"/>
      <x:c r="J8" s="2"/>
    </x:row>
    <x:row r="9" ht="22" customHeight="1">
      <x:c r="A9" s="2" t="n">
        <x:v>3</x:v>
      </x:c>
      <x:c r="B9" s="8" t="n">
        <x:f>H20</x:f>
        <x:v>15</x:v>
      </x:c>
      <x:c r="C9" s="8" t="n">
        <x:f>I31</x:f>
        <x:v>10</x:v>
      </x:c>
      <x:c r="D9" s="2"/>
      <x:c r="E9" s="2"/>
      <x:c r="F9" s="2"/>
      <x:c r="G9" s="2"/>
      <x:c r="H9" s="2"/>
      <x:c r="I9" s="2"/>
      <x:c r="J9" s="2"/>
    </x:row>
    <x:row r="10" ht="22" customHeight="1">
      <x:c r="A10" s="2" t="n">
        <x:v>4</x:v>
      </x:c>
      <x:c r="B10" s="8" t="n">
        <x:f>H21</x:f>
        <x:v>20.454545454545453</x:v>
      </x:c>
      <x:c r="C10" s="8" t="n">
        <x:f>I32</x:f>
        <x:v>12.857142857142858</x:v>
      </x:c>
      <x:c r="D10" s="2"/>
      <x:c r="E10" s="2"/>
      <x:c r="F10" s="2"/>
      <x:c r="G10" s="2"/>
      <x:c r="H10" s="2"/>
      <x:c r="I10" s="2"/>
      <x:c r="J10" s="2"/>
    </x:row>
    <x:row r="11" ht="22" customHeight="1">
      <x:c r="A11" s="2" t="n">
        <x:v>5</x:v>
      </x:c>
      <x:c r="B11" s="8" t="n">
        <x:f>H22</x:f>
        <x:v>27.27272727272727</x:v>
      </x:c>
      <x:c r="C11" s="8" t="n">
        <x:f>I33</x:f>
        <x:v>14.0625</x:v>
      </x:c>
      <x:c r="D11" s="2"/>
      <x:c r="E11" s="2"/>
      <x:c r="F11" s="2"/>
      <x:c r="G11" s="2"/>
      <x:c r="H11" s="2"/>
      <x:c r="I11" s="2"/>
      <x:c r="J11" s="2"/>
    </x:row>
    <x:row r="12" ht="22" customHeight="1">
      <x:c r="A12" s="2" t="n">
        <x:v>6</x:v>
      </x:c>
      <x:c r="B12" s="8" t="n">
        <x:f>H23</x:f>
        <x:v>32.72727272727273</x:v>
      </x:c>
      <x:c r="C12" s="8" t="n">
        <x:f>I34</x:f>
        <x:v>17.1875</x:v>
      </x:c>
      <x:c r="D12" s="2"/>
      <x:c r="E12" s="2"/>
      <x:c r="F12" s="2"/>
      <x:c r="G12" s="2"/>
      <x:c r="H12" s="2"/>
      <x:c r="I12" s="2"/>
      <x:c r="J12" s="2"/>
    </x:row>
    <x:row r="13" ht="22" customHeight="1">
      <x:c r="A13" s="2" t="n">
        <x:v>7</x:v>
      </x:c>
      <x:c r="B13" s="8" t="n">
        <x:f>H24</x:f>
        <x:v>50</x:v>
      </x:c>
      <x:c r="C13" s="8" t="n">
        <x:f>I35</x:f>
        <x:v>51.5625</x:v>
      </x:c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9" t="str">
        <x:v>Ветка 1 — Ракетный рой</x:v>
      </x:c>
      <x:c r="B15" s="9"/>
      <x:c r="C15" s="9"/>
      <x:c r="D15" s="9"/>
      <x:c r="E15" s="9"/>
      <x:c r="F15" s="9"/>
      <x:c r="G15" s="9"/>
      <x:c r="H15" s="9"/>
      <x:c r="I15" s="9"/>
      <x:c r="J15" s="9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6" t="str">
        <x:v>Уровень</x:v>
      </x:c>
      <x:c r="B17" s="6" t="str">
        <x:v>Ракет за залп</x:v>
      </x:c>
      <x:c r="C17" s="6" t="str">
        <x:v>Урон ракеты</x:v>
      </x:c>
      <x:c r="D17" s="6" t="str">
        <x:v>Интервал, сек.</x:v>
      </x:c>
      <x:c r="E17" s="6" t="str">
        <x:v>Скорость</x:v>
      </x:c>
      <x:c r="F17" s="6" t="str">
        <x:v>Взрывов</x:v>
      </x:c>
      <x:c r="G17" s="6" t="str">
        <x:v>Урон залпа</x:v>
      </x:c>
      <x:c r="H17" s="6" t="str">
        <x:v>DPS</x:v>
      </x:c>
      <x:c r="I17" s="6" t="str">
        <x:v>Радиус взрыва</x:v>
      </x:c>
      <x:c r="J17" s="6" t="str">
        <x:v>Траектория / особенность</x:v>
      </x:c>
    </x:row>
    <x:row r="18" ht="24" customHeight="1">
      <x:c r="A18" s="10" t="n">
        <x:v>1</x:v>
      </x:c>
      <x:c r="B18" s="10" t="n">
        <x:v>1</x:v>
      </x:c>
      <x:c r="C18" s="10" t="n">
        <x:v>22</x:v>
      </x:c>
      <x:c r="D18" s="12" t="n">
        <x:v>3</x:v>
      </x:c>
      <x:c r="E18" s="10" t="n">
        <x:v>95</x:v>
      </x:c>
      <x:c r="F18" s="10" t="n">
        <x:v>1</x:v>
      </x:c>
      <x:c r="G18" s="11" t="n">
        <x:f>IF(OR(B18="",C18="",F18=""),"",B18*C18*F18)</x:f>
        <x:v>22</x:v>
      </x:c>
      <x:c r="H18" s="8" t="n">
        <x:f>IF(OR(G18="",D18="",D18&lt;=0),"",G18/D18)</x:f>
        <x:v>7.333333333333333</x:v>
      </x:c>
      <x:c r="I18" s="10" t="n">
        <x:v>0</x:v>
      </x:c>
      <x:c r="J18" s="10" t="str">
        <x:v>Одна обычная ракета</x:v>
      </x:c>
    </x:row>
    <x:row r="19" ht="24" customHeight="1">
      <x:c r="A19" s="10" t="n">
        <x:v>2</x:v>
      </x:c>
      <x:c r="B19" s="10" t="n">
        <x:v>2</x:v>
      </x:c>
      <x:c r="C19" s="10" t="n">
        <x:v>15</x:v>
      </x:c>
      <x:c r="D19" s="12" t="n">
        <x:v>3</x:v>
      </x:c>
      <x:c r="E19" s="10" t="n">
        <x:v>95</x:v>
      </x:c>
      <x:c r="F19" s="10" t="n">
        <x:v>1</x:v>
      </x:c>
      <x:c r="G19" s="11" t="n">
        <x:f>IF(OR(B19="",C19="",F19=""),"",B19*C19*F19)</x:f>
        <x:v>30</x:v>
      </x:c>
      <x:c r="H19" s="8" t="n">
        <x:f>IF(OR(G19="",D19="",D19&lt;=0),"",G19/D19)</x:f>
        <x:v>10</x:v>
      </x:c>
      <x:c r="I19" s="10" t="n">
        <x:v>0</x:v>
      </x:c>
      <x:c r="J19" s="10" t="str">
        <x:v>Две мелкие жёлтые ракеты, расходятся дугами</x:v>
      </x:c>
    </x:row>
    <x:row r="20" ht="24" customHeight="1">
      <x:c r="A20" s="10" t="n">
        <x:v>3</x:v>
      </x:c>
      <x:c r="B20" s="10" t="n">
        <x:v>3</x:v>
      </x:c>
      <x:c r="C20" s="10" t="n">
        <x:v>15</x:v>
      </x:c>
      <x:c r="D20" s="12" t="n">
        <x:v>3</x:v>
      </x:c>
      <x:c r="E20" s="10" t="n">
        <x:v>95</x:v>
      </x:c>
      <x:c r="F20" s="10" t="n">
        <x:v>1</x:v>
      </x:c>
      <x:c r="G20" s="11" t="n">
        <x:f>IF(OR(B20="",C20="",F20=""),"",B20*C20*F20)</x:f>
        <x:v>45</x:v>
      </x:c>
      <x:c r="H20" s="8" t="n">
        <x:f>IF(OR(G20="",D20="",D20&lt;=0),"",G20/D20)</x:f>
        <x:v>15</x:v>
      </x:c>
      <x:c r="I20" s="10" t="n">
        <x:v>0</x:v>
      </x:c>
      <x:c r="J20" s="10" t="str">
        <x:v>Три разные дуги</x:v>
      </x:c>
    </x:row>
    <x:row r="21" ht="24" customHeight="1">
      <x:c r="A21" s="10" t="n">
        <x:v>4</x:v>
      </x:c>
      <x:c r="B21" s="10" t="n">
        <x:v>3</x:v>
      </x:c>
      <x:c r="C21" s="10" t="n">
        <x:v>15</x:v>
      </x:c>
      <x:c r="D21" s="12" t="n">
        <x:v>2.2</x:v>
      </x:c>
      <x:c r="E21" s="10" t="n">
        <x:v>95</x:v>
      </x:c>
      <x:c r="F21" s="10" t="n">
        <x:v>1</x:v>
      </x:c>
      <x:c r="G21" s="11" t="n">
        <x:f>IF(OR(B21="",C21="",F21=""),"",B21*C21*F21)</x:f>
        <x:v>45</x:v>
      </x:c>
      <x:c r="H21" s="8" t="n">
        <x:f>IF(OR(G21="",D21="",D21&lt;=0),"",G21/D21)</x:f>
        <x:v>20.454545454545453</x:v>
      </x:c>
      <x:c r="I21" s="10" t="n">
        <x:v>0</x:v>
      </x:c>
      <x:c r="J21" s="10" t="str">
        <x:v>Более частые залпы</x:v>
      </x:c>
    </x:row>
    <x:row r="22" ht="24" customHeight="1">
      <x:c r="A22" s="10" t="n">
        <x:v>5</x:v>
      </x:c>
      <x:c r="B22" s="10" t="n">
        <x:v>4</x:v>
      </x:c>
      <x:c r="C22" s="10" t="n">
        <x:v>15</x:v>
      </x:c>
      <x:c r="D22" s="12" t="n">
        <x:v>2.2</x:v>
      </x:c>
      <x:c r="E22" s="10" t="n">
        <x:v>95</x:v>
      </x:c>
      <x:c r="F22" s="10" t="n">
        <x:v>1</x:v>
      </x:c>
      <x:c r="G22" s="11" t="n">
        <x:f>IF(OR(B22="",C22="",F22=""),"",B22*C22*F22)</x:f>
        <x:v>60</x:v>
      </x:c>
      <x:c r="H22" s="8" t="n">
        <x:f>IF(OR(G22="",D22="",D22&lt;=0),"",G22/D22)</x:f>
        <x:v>27.27272727272727</x:v>
      </x:c>
      <x:c r="I22" s="10" t="n">
        <x:v>0</x:v>
      </x:c>
      <x:c r="J22" s="10" t="str">
        <x:v>Четыре разные дуги</x:v>
      </x:c>
    </x:row>
    <x:row r="23" ht="24" customHeight="1">
      <x:c r="A23" s="10" t="n">
        <x:v>6</x:v>
      </x:c>
      <x:c r="B23" s="10" t="n">
        <x:v>4</x:v>
      </x:c>
      <x:c r="C23" s="10" t="n">
        <x:v>18</x:v>
      </x:c>
      <x:c r="D23" s="12" t="n">
        <x:v>2.2</x:v>
      </x:c>
      <x:c r="E23" s="10" t="n">
        <x:v>119</x:v>
      </x:c>
      <x:c r="F23" s="10" t="n">
        <x:v>1</x:v>
      </x:c>
      <x:c r="G23" s="11" t="n">
        <x:f>IF(OR(B23="",C23="",F23=""),"",B23*C23*F23)</x:f>
        <x:v>72</x:v>
      </x:c>
      <x:c r="H23" s="8" t="n">
        <x:f>IF(OR(G23="",D23="",D23&lt;=0),"",G23/D23)</x:f>
        <x:v>32.72727272727273</x:v>
      </x:c>
      <x:c r="I23" s="10" t="n">
        <x:v>0</x:v>
      </x:c>
      <x:c r="J23" s="10" t="str">
        <x:v>Более быстрые ракеты</x:v>
      </x:c>
    </x:row>
    <x:row r="24" ht="24" customHeight="1">
      <x:c r="A24" s="10" t="n">
        <x:v>7</x:v>
      </x:c>
      <x:c r="B24" s="10" t="n">
        <x:v>5</x:v>
      </x:c>
      <x:c r="C24" s="10" t="n">
        <x:v>18</x:v>
      </x:c>
      <x:c r="D24" s="12" t="n">
        <x:v>1.8</x:v>
      </x:c>
      <x:c r="E24" s="10" t="n">
        <x:v>119</x:v>
      </x:c>
      <x:c r="F24" s="10" t="n">
        <x:v>1</x:v>
      </x:c>
      <x:c r="G24" s="11" t="n">
        <x:f>IF(OR(B24="",C24="",F24=""),"",B24*C24*F24)</x:f>
        <x:v>90</x:v>
      </x:c>
      <x:c r="H24" s="8" t="n">
        <x:f>IF(OR(G24="",D24="",D24&lt;=0),"",G24/D24)</x:f>
        <x:v>50</x:v>
      </x:c>
      <x:c r="I24" s="10" t="n">
        <x:v>0</x:v>
      </x:c>
      <x:c r="J24" s="10" t="str">
        <x:v>«Жёлтая буря»: пять ракет по разным дугам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9" t="str">
        <x:v>Ветка 2 — Осадная ракета</x:v>
      </x:c>
      <x:c r="B26" s="9"/>
      <x:c r="C26" s="9"/>
      <x:c r="D26" s="9"/>
      <x:c r="E26" s="9"/>
      <x:c r="F26" s="9"/>
      <x:c r="G26" s="9"/>
      <x:c r="H26" s="9"/>
      <x:c r="I26" s="9"/>
      <x:c r="J26" s="9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6" t="str">
        <x:v>Уровень</x:v>
      </x:c>
      <x:c r="B28" s="6" t="str">
        <x:v>Ракет за залп</x:v>
      </x:c>
      <x:c r="C28" s="6" t="str">
        <x:v>Урон взрыва</x:v>
      </x:c>
      <x:c r="D28" s="6" t="str">
        <x:v>Интервал, сек.</x:v>
      </x:c>
      <x:c r="E28" s="6" t="str">
        <x:v>Радиус взрыва</x:v>
      </x:c>
      <x:c r="F28" s="6" t="str">
        <x:v>Взрывов</x:v>
      </x:c>
      <x:c r="G28" s="6" t="str">
        <x:v>Пауза, сек.</x:v>
      </x:c>
      <x:c r="H28" s="6" t="str">
        <x:v>Урон залпа</x:v>
      </x:c>
      <x:c r="I28" s="6" t="str">
        <x:v>DPS</x:v>
      </x:c>
      <x:c r="J28" s="6" t="str">
        <x:v>Особенность</x:v>
      </x:c>
    </x:row>
    <x:row r="29" ht="24" customHeight="1">
      <x:c r="A29" s="10" t="n">
        <x:v>1</x:v>
      </x:c>
      <x:c r="B29" s="10" t="n">
        <x:v>1</x:v>
      </x:c>
      <x:c r="C29" s="10" t="n">
        <x:v>20</x:v>
      </x:c>
      <x:c r="D29" s="12" t="n">
        <x:v>3</x:v>
      </x:c>
      <x:c r="E29" s="10" t="n">
        <x:v>0</x:v>
      </x:c>
      <x:c r="F29" s="10" t="n">
        <x:v>1</x:v>
      </x:c>
      <x:c r="G29" s="12" t="n">
        <x:v>0</x:v>
      </x:c>
      <x:c r="H29" s="11" t="n">
        <x:f>IF(OR(B29="",C29="",F29=""),"",B29*C29*F29)</x:f>
        <x:v>20</x:v>
      </x:c>
      <x:c r="I29" s="8" t="n">
        <x:f>IF(OR(H29="",D29="",D29&lt;=0),"",H29/D29)</x:f>
        <x:v>6.666666666666667</x:v>
      </x:c>
      <x:c r="J29" s="10" t="str">
        <x:v>Одна обычная ракета</x:v>
      </x:c>
    </x:row>
    <x:row r="30" ht="24" customHeight="1">
      <x:c r="A30" s="10" t="n">
        <x:v>2</x:v>
      </x:c>
      <x:c r="B30" s="10" t="n">
        <x:v>1</x:v>
      </x:c>
      <x:c r="C30" s="10" t="n">
        <x:v>35</x:v>
      </x:c>
      <x:c r="D30" s="12" t="n">
        <x:v>3.5</x:v>
      </x:c>
      <x:c r="E30" s="10" t="n">
        <x:v>0</x:v>
      </x:c>
      <x:c r="F30" s="10" t="n">
        <x:v>1</x:v>
      </x:c>
      <x:c r="G30" s="12" t="n">
        <x:v>0</x:v>
      </x:c>
      <x:c r="H30" s="11" t="n">
        <x:f>IF(OR(B30="",C30="",F30=""),"",B30*C30*F30)</x:f>
        <x:v>35</x:v>
      </x:c>
      <x:c r="I30" s="8" t="n">
        <x:f>IF(OR(H30="",D30="",D30&lt;=0),"",H30/D30)</x:f>
        <x:v>10</x:v>
      </x:c>
      <x:c r="J30" s="10" t="str">
        <x:v>Более крупная тяжёлая ракета</x:v>
      </x:c>
    </x:row>
    <x:row r="31" ht="24" customHeight="1">
      <x:c r="A31" s="10" t="n">
        <x:v>3</x:v>
      </x:c>
      <x:c r="B31" s="10" t="n">
        <x:v>1</x:v>
      </x:c>
      <x:c r="C31" s="10" t="n">
        <x:v>35</x:v>
      </x:c>
      <x:c r="D31" s="12" t="n">
        <x:v>3.5</x:v>
      </x:c>
      <x:c r="E31" s="10" t="n">
        <x:v>40</x:v>
      </x:c>
      <x:c r="F31" s="10" t="n">
        <x:v>1</x:v>
      </x:c>
      <x:c r="G31" s="12" t="n">
        <x:v>0</x:v>
      </x:c>
      <x:c r="H31" s="11" t="n">
        <x:f>IF(OR(B31="",C31="",F31=""),"",B31*C31*F31)</x:f>
        <x:v>35</x:v>
      </x:c>
      <x:c r="I31" s="8" t="n">
        <x:f>IF(OR(H31="",D31="",D31&lt;=0),"",H31/D31)</x:f>
        <x:v>10</x:v>
      </x:c>
      <x:c r="J31" s="10" t="str">
        <x:v>Взрыв поражает врагов рядом</x:v>
      </x:c>
    </x:row>
    <x:row r="32" ht="24" customHeight="1">
      <x:c r="A32" s="10" t="n">
        <x:v>4</x:v>
      </x:c>
      <x:c r="B32" s="10" t="n">
        <x:v>1</x:v>
      </x:c>
      <x:c r="C32" s="10" t="n">
        <x:v>45</x:v>
      </x:c>
      <x:c r="D32" s="12" t="n">
        <x:v>3.5</x:v>
      </x:c>
      <x:c r="E32" s="10" t="n">
        <x:v>40</x:v>
      </x:c>
      <x:c r="F32" s="10" t="n">
        <x:v>1</x:v>
      </x:c>
      <x:c r="G32" s="12" t="n">
        <x:v>0</x:v>
      </x:c>
      <x:c r="H32" s="11" t="n">
        <x:f>IF(OR(B32="",C32="",F32=""),"",B32*C32*F32)</x:f>
        <x:v>45</x:v>
      </x:c>
      <x:c r="I32" s="8" t="n">
        <x:f>IF(OR(H32="",D32="",D32&lt;=0),"",H32/D32)</x:f>
        <x:v>12.857142857142858</x:v>
      </x:c>
      <x:c r="J32" s="10" t="str">
        <x:v>Повышенный урон</x:v>
      </x:c>
    </x:row>
    <x:row r="33" ht="24" customHeight="1">
      <x:c r="A33" s="10" t="n">
        <x:v>5</x:v>
      </x:c>
      <x:c r="B33" s="10" t="n">
        <x:v>1</x:v>
      </x:c>
      <x:c r="C33" s="10" t="n">
        <x:v>45</x:v>
      </x:c>
      <x:c r="D33" s="12" t="n">
        <x:v>3.2</x:v>
      </x:c>
      <x:c r="E33" s="10" t="n">
        <x:v>55</x:v>
      </x:c>
      <x:c r="F33" s="10" t="n">
        <x:v>1</x:v>
      </x:c>
      <x:c r="G33" s="12" t="n">
        <x:v>0</x:v>
      </x:c>
      <x:c r="H33" s="11" t="n">
        <x:f>IF(OR(B33="",C33="",F33=""),"",B33*C33*F33)</x:f>
        <x:v>45</x:v>
      </x:c>
      <x:c r="I33" s="8" t="n">
        <x:f>IF(OR(H33="",D33="",D33&lt;=0),"",H33/D33)</x:f>
        <x:v>14.0625</x:v>
      </x:c>
      <x:c r="J33" s="10" t="str">
        <x:v>Взрыв шире, выстрелы чаще</x:v>
      </x:c>
    </x:row>
    <x:row r="34" ht="24" customHeight="1">
      <x:c r="A34" s="10" t="n">
        <x:v>6</x:v>
      </x:c>
      <x:c r="B34" s="10" t="n">
        <x:v>1</x:v>
      </x:c>
      <x:c r="C34" s="10" t="n">
        <x:v>55</x:v>
      </x:c>
      <x:c r="D34" s="12" t="n">
        <x:v>3.2</x:v>
      </x:c>
      <x:c r="E34" s="10" t="n">
        <x:v>55</x:v>
      </x:c>
      <x:c r="F34" s="10" t="n">
        <x:v>1</x:v>
      </x:c>
      <x:c r="G34" s="12" t="n">
        <x:v>0</x:v>
      </x:c>
      <x:c r="H34" s="11" t="n">
        <x:f>IF(OR(B34="",C34="",F34=""),"",B34*C34*F34)</x:f>
        <x:v>55</x:v>
      </x:c>
      <x:c r="I34" s="8" t="n">
        <x:f>IF(OR(H34="",D34="",D34&lt;=0),"",H34/D34)</x:f>
        <x:v>17.1875</x:v>
      </x:c>
      <x:c r="J34" s="10" t="str">
        <x:v>Повышенный урон</x:v>
      </x:c>
    </x:row>
    <x:row r="35" ht="24" customHeight="1">
      <x:c r="A35" s="10" t="n">
        <x:v>7</x:v>
      </x:c>
      <x:c r="B35" s="10" t="n">
        <x:v>1</x:v>
      </x:c>
      <x:c r="C35" s="10" t="n">
        <x:v>55</x:v>
      </x:c>
      <x:c r="D35" s="12" t="n">
        <x:v>3.2</x:v>
      </x:c>
      <x:c r="E35" s="10" t="n">
        <x:v>55</x:v>
      </x:c>
      <x:c r="F35" s="10" t="n">
        <x:v>3</x:v>
      </x:c>
      <x:c r="G35" s="12" t="n">
        <x:v>0.25</x:v>
      </x:c>
      <x:c r="H35" s="11" t="n">
        <x:f>IF(OR(B35="",C35="",F35=""),"",B35*C35*F35)</x:f>
        <x:v>165</x:v>
      </x:c>
      <x:c r="I35" s="8" t="n">
        <x:f>IF(OR(H35="",D35="",D35&lt;=0),"",H35/D35)</x:f>
        <x:v>51.5625</x:v>
      </x:c>
      <x:c r="J35" s="10" t="str">
        <x:v>«Тройной удар»: три взрыва в точке попадания</x:v>
      </x:c>
    </x:row>
  </x:sheetData>
  <x:pageMargins left="0.7" right="0.7" top="0.75" bottom="0.75" header="0.3" footer="0.3"/>
</x:worksheet>
</file>